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hrn" sheetId="1" r:id="rId5"/>
    <sheet state="visible" name="Mereni" sheetId="2" r:id="rId6"/>
    <sheet state="visible" name="Poznamky" sheetId="3" r:id="rId7"/>
    <sheet state="visible" name="Respondenti" sheetId="4" r:id="rId8"/>
    <sheet state="visible" name="Ciselnik" sheetId="5" r:id="rId9"/>
  </sheets>
  <definedNames/>
  <calcPr/>
</workbook>
</file>

<file path=xl/sharedStrings.xml><?xml version="1.0" encoding="utf-8"?>
<sst xmlns="http://schemas.openxmlformats.org/spreadsheetml/2006/main" count="489" uniqueCount="179">
  <si>
    <t>Data z pilotního uživatelského ověření</t>
  </si>
  <si>
    <t>Počet účastníků</t>
  </si>
  <si>
    <t>Náboráři</t>
  </si>
  <si>
    <t>Počet scénářů</t>
  </si>
  <si>
    <t>Personalistky</t>
  </si>
  <si>
    <t>Dokončené průchody</t>
  </si>
  <si>
    <t>Interní uchazeči</t>
  </si>
  <si>
    <t>Zaznamenané chyby</t>
  </si>
  <si>
    <t>Vedoucí</t>
  </si>
  <si>
    <t>Scénář</t>
  </si>
  <si>
    <t>Popis</t>
  </si>
  <si>
    <t>Dokončení</t>
  </si>
  <si>
    <t>Potřeba asistence</t>
  </si>
  <si>
    <t>Medián času</t>
  </si>
  <si>
    <t>Rozsah času</t>
  </si>
  <si>
    <t>Počet chyb</t>
  </si>
  <si>
    <t>Priorita</t>
  </si>
  <si>
    <t>Poznámka</t>
  </si>
  <si>
    <t>Medián času (s)</t>
  </si>
  <si>
    <t>S1</t>
  </si>
  <si>
    <t>Založení a publikace nové pracovní pozice</t>
  </si>
  <si>
    <t>nízká</t>
  </si>
  <si>
    <t>Nabídku dokázali založit všichni náboráři. Drobné chyby se týkaly hlavně kontroly číselníkových hodnot před publikací.</t>
  </si>
  <si>
    <t>S2</t>
  </si>
  <si>
    <t>Zpracování přihlášky a změna stavu uchazeče</t>
  </si>
  <si>
    <t>Změna stavu uchazeče byla dobře čitelná. Jediná asistence souvisela s odlišením interní poznámky od komunikace směrem ke kandidátovi.</t>
  </si>
  <si>
    <t>S3</t>
  </si>
  <si>
    <t>Naplánování pohovoru a odeslání pozvánek</t>
  </si>
  <si>
    <t>střední</t>
  </si>
  <si>
    <t>Naplánování pohovoru bylo dokončeno všemi účastníky, ale scénář měl střední prioritu kvůli potřebě lépe vysvětlit výběr účastníků a odeslání pozvánek.</t>
  </si>
  <si>
    <t>S4</t>
  </si>
  <si>
    <t>Převod uchazeče na zaměstnance a spuštění vstupní agendy</t>
  </si>
  <si>
    <t>vysoká</t>
  </si>
  <si>
    <t>Nejproblematičtější scénář. Část účastníků zaměňovala dokončení náborového kroku se spuštěním navazující vstupní agendy.</t>
  </si>
  <si>
    <t>S5</t>
  </si>
  <si>
    <t>Vyplnění kroku vstupní agendy a nahrání požadovaných dokumentů</t>
  </si>
  <si>
    <t>Interní zaměstnanci v roli uchazeče úkol dokončili, ale jeden účastník se vracel kvůli nejistotě ohledně typu dokumentu.</t>
  </si>
  <si>
    <t>S6</t>
  </si>
  <si>
    <t>Kontrola reportu náborové průchodnosti</t>
  </si>
  <si>
    <t>Vedoucí zaměstnanec report našel bez asistence. Scénář potvrdil srozumitelnost základního manažerského přehledu.</t>
  </si>
  <si>
    <t>S7</t>
  </si>
  <si>
    <t>Ověření notifikace a reakce na přidělený úkol</t>
  </si>
  <si>
    <t>Notifikace byly dobře pochopené napříč rolemi. Jedna chyba se týkala volby mezi seznamem notifikací a přímým přechodem na úkol.</t>
  </si>
  <si>
    <t>Účastník</t>
  </si>
  <si>
    <t>Role</t>
  </si>
  <si>
    <t>Skupina měření</t>
  </si>
  <si>
    <t>Dokončeno</t>
  </si>
  <si>
    <t>Čas (s)</t>
  </si>
  <si>
    <t>Asistence</t>
  </si>
  <si>
    <t>Chyby</t>
  </si>
  <si>
    <t>Čas text</t>
  </si>
  <si>
    <t>N01</t>
  </si>
  <si>
    <t>Náborář</t>
  </si>
  <si>
    <t>školení náborářů</t>
  </si>
  <si>
    <t>ano</t>
  </si>
  <si>
    <t>2 min 45 s</t>
  </si>
  <si>
    <t>Založení nabídky proběhlo bez asistence; uživatel ocenil předvyplněné číselníky.</t>
  </si>
  <si>
    <t>N02</t>
  </si>
  <si>
    <t>2 min 55 s</t>
  </si>
  <si>
    <t>Bez zásadních problémů, pouze krátké ověření významu pole pracoviště.</t>
  </si>
  <si>
    <t>N03</t>
  </si>
  <si>
    <t>3 min 00 s</t>
  </si>
  <si>
    <t>Uživatel se rychle orientoval v rozdělení základních údajů a publikace.</t>
  </si>
  <si>
    <t>N04</t>
  </si>
  <si>
    <t>3 min 05 s</t>
  </si>
  <si>
    <t>Krátký návrat kvůli kontrole rozsahu úvazku před publikací.</t>
  </si>
  <si>
    <t>N05</t>
  </si>
  <si>
    <t>3 min 10 s</t>
  </si>
  <si>
    <t>Průchod plynulý, pozitivně hodnocené uložení rozpracované nabídky.</t>
  </si>
  <si>
    <t>N06</t>
  </si>
  <si>
    <t>3 min 25 s</t>
  </si>
  <si>
    <t>Chybná volba typu pracovního poměru byla opravena bez asistence.</t>
  </si>
  <si>
    <t>N07</t>
  </si>
  <si>
    <t>3 min 40 s</t>
  </si>
  <si>
    <t>Pomalejší průchod způsobený čtením nápověd a kontrolou povinných polí.</t>
  </si>
  <si>
    <t>2 min 10 s</t>
  </si>
  <si>
    <t>Změna stavu uchazeče byla srozumitelná, cílový stav jednoznačně viditelný.</t>
  </si>
  <si>
    <t>2 min 20 s</t>
  </si>
  <si>
    <t>Bez chyb, uživatel ocenil zobrazení historie uchazeče.</t>
  </si>
  <si>
    <t>2 min 25 s</t>
  </si>
  <si>
    <t>Rychlé zpracování přihlášky, nebyla potřeba asistence.</t>
  </si>
  <si>
    <t>2 min 30 s</t>
  </si>
  <si>
    <t>Stav uchazeče byl změněn správně, komentář doplněn dobrovolně.</t>
  </si>
  <si>
    <t>2 min 35 s</t>
  </si>
  <si>
    <t>Bylo potřeba vysvětlit rozdíl mezi interní poznámkou a zprávou kandidátovi.</t>
  </si>
  <si>
    <t>Bez problému, uživatel kontroloval navazující notifikaci.</t>
  </si>
  <si>
    <t>Delší čas kvůli ruční kontrole příloh uchazeče.</t>
  </si>
  <si>
    <t>2 min 15 s</t>
  </si>
  <si>
    <t>Pohovor naplánován rychle, účastníci byli vybráni správně.</t>
  </si>
  <si>
    <t>Bez chyb, uživatel rozuměl odeslání pozvánek.</t>
  </si>
  <si>
    <t>2 min 40 s</t>
  </si>
  <si>
    <t>Uživatel si ověřoval, zda pozvánka odchází kandidátovi i interním účastníkům.</t>
  </si>
  <si>
    <t>Scénář dokončen plynule.</t>
  </si>
  <si>
    <t>Bylo nutné dovysvětlit výběr účastníků pohovoru.</t>
  </si>
  <si>
    <t>Uživatel provedl dodatečnou kontrolu data a času.</t>
  </si>
  <si>
    <t>Delší průchod bez chyby, uživatel postupoval opatrně.</t>
  </si>
  <si>
    <t>2 min 00 s</t>
  </si>
  <si>
    <t>Převod byl dokončen, uživatel měl předchozí zkušenost s procesem.</t>
  </si>
  <si>
    <t>Bez asistence, uživatel správně navázal vstupní agendu.</t>
  </si>
  <si>
    <t>Scénář dokončen, ale uživatel si ověřoval význam finálního stavu.</t>
  </si>
  <si>
    <t>Bylo potřeba vysvětlit rozdíl mezi změnou stavu a spuštěním vstupní agendy.</t>
  </si>
  <si>
    <t>Převod dokončen, uživatel ocenil návaznost na úkoly.</t>
  </si>
  <si>
    <t>Pomalejší průchod kvůli kontrole údajů uchazeče.</t>
  </si>
  <si>
    <t>ne</t>
  </si>
  <si>
    <t>Uživatel skončil u změny stavu uchazeče a nepokračoval ke spuštění vstupní agendy.</t>
  </si>
  <si>
    <t>P01</t>
  </si>
  <si>
    <t>Personalistka</t>
  </si>
  <si>
    <t>Scénář dokončen po kontrole personálních údajů.</t>
  </si>
  <si>
    <t>P02</t>
  </si>
  <si>
    <t>Uživatelka si nebyla jistá, zda již pracuje s uchazečem nebo budoucím zaměstnancem.</t>
  </si>
  <si>
    <t>U01</t>
  </si>
  <si>
    <t>Interní zaměstnanec v roli uchazeče</t>
  </si>
  <si>
    <t>navazující ověření</t>
  </si>
  <si>
    <t>5 min 00 s</t>
  </si>
  <si>
    <t>Úkol vstupní agendy byl srozumitelný, dokument se podařilo nahrát napoprvé.</t>
  </si>
  <si>
    <t>U02</t>
  </si>
  <si>
    <t>5 min 30 s</t>
  </si>
  <si>
    <t>Uživatel se krátce vracel kvůli kontrole typu nahrávaného dokumentu.</t>
  </si>
  <si>
    <t>V01</t>
  </si>
  <si>
    <t>Vedoucí zaměstnanec</t>
  </si>
  <si>
    <t>2 min 50 s</t>
  </si>
  <si>
    <t>Report byl dohledán rychle, vedoucí ocenil souhrnný pohled na průchodnost.</t>
  </si>
  <si>
    <t>1 min 15 s</t>
  </si>
  <si>
    <t>Notifikace byla rozpoznána a vyřízena bez zaváhání.</t>
  </si>
  <si>
    <t>1 min 22 s</t>
  </si>
  <si>
    <t>Bez problému.</t>
  </si>
  <si>
    <t>1 min 30 s</t>
  </si>
  <si>
    <t>Uživatel rychle přešel z notifikace na detail úkolu.</t>
  </si>
  <si>
    <t>1 min 35 s</t>
  </si>
  <si>
    <t>Postup plynulý.</t>
  </si>
  <si>
    <t>1 min 38 s</t>
  </si>
  <si>
    <t>Notifikace byla srozumitelná.</t>
  </si>
  <si>
    <t>1 min 40 s</t>
  </si>
  <si>
    <t>Mediánový průchod bez asistence.</t>
  </si>
  <si>
    <t>1 min 45 s</t>
  </si>
  <si>
    <t>Uživatel nejprve otevřel seznam notifikací místo přímo navázaného úkolu.</t>
  </si>
  <si>
    <t>1 min 50 s</t>
  </si>
  <si>
    <t>1 min 55 s</t>
  </si>
  <si>
    <t>Uživatelka ocenila jasné oddělení přečtených a nepřečtených oznámení.</t>
  </si>
  <si>
    <t>2 min 05 s</t>
  </si>
  <si>
    <t>Uživatel našel navazující úkol z notifikace.</t>
  </si>
  <si>
    <t>Pomalejší orientace, ale bez asistence.</t>
  </si>
  <si>
    <t>Souhrnná poznámka</t>
  </si>
  <si>
    <t>Dopad na další iteraci</t>
  </si>
  <si>
    <t>Ponechat bez zásadní změny, pouze průběžně sledovat.</t>
  </si>
  <si>
    <t>Lépe vysvětlit účastníky pohovoru a odeslání pozvánek.</t>
  </si>
  <si>
    <t>Zpřesnit přechod mezi náborem a vstupní agendou.</t>
  </si>
  <si>
    <t>Zvýraznit typ dokumentu, termín a odpovědnou roli.</t>
  </si>
  <si>
    <t>Testovaná oblast</t>
  </si>
  <si>
    <t>náborové workflow</t>
  </si>
  <si>
    <t>personální návaznost</t>
  </si>
  <si>
    <t>uchazečský pohled</t>
  </si>
  <si>
    <t>manažerský dohled</t>
  </si>
  <si>
    <t>Číselník a metodická poznámka</t>
  </si>
  <si>
    <t>Pole</t>
  </si>
  <si>
    <t>Význam</t>
  </si>
  <si>
    <t>Jednotka / hodnoty</t>
  </si>
  <si>
    <t>Dokončení scénáře</t>
  </si>
  <si>
    <t>Podíl dokončených průchodů vůči relevantním účastníkům</t>
  </si>
  <si>
    <t>x/y</t>
  </si>
  <si>
    <t>Počítá se podle cílového stavu scénáře.</t>
  </si>
  <si>
    <t>Počet zásahů moderátora</t>
  </si>
  <si>
    <t>počet</t>
  </si>
  <si>
    <t>Započteno vysvětlení významu kroku, stavu nebo navigace.</t>
  </si>
  <si>
    <t>Medián dokončených průchodů</t>
  </si>
  <si>
    <t>min:s</t>
  </si>
  <si>
    <t>Nedokončené průchody nejsou zahrnuty do mediánu času.</t>
  </si>
  <si>
    <t>Chybné volby, návraty nebo slepá místa</t>
  </si>
  <si>
    <t>Nejde o technické chyby systému, ale o chyby v průchodu scénářem.</t>
  </si>
  <si>
    <t>Expertní priorita zjištění</t>
  </si>
  <si>
    <t>nízká / střední / vysoká</t>
  </si>
  <si>
    <t>Určeno podle dopadu na průchod procesu a četnosti výskytu.</t>
  </si>
  <si>
    <t>Kontext, ve kterém byl scénář měřen</t>
  </si>
  <si>
    <t>školení / navazující ověření</t>
  </si>
  <si>
    <t>Personalisté a interní zaměstnanci jsou vedeni samostatně.</t>
  </si>
  <si>
    <t>Zdroj dat</t>
  </si>
  <si>
    <t>Reálné měření průchodů scénáři</t>
  </si>
  <si>
    <t>pozorování, čas, komentáře</t>
  </si>
  <si>
    <t>Podklad pro kapitolu 7 diplomové práce.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</si>
</sst>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5.0"/>
      <color rgb="FFFFFFFF"/>
      <name val="Arial"/>
    </font>
    <font>
      <sz val="10.0"/>
      <color rgb="FF1F2937"/>
      <name val="Aptos"/>
    </font>
    <font>
      <i/>
      <sz val="10.0"/>
      <color rgb="FF1F2937"/>
      <name val="Aptos"/>
    </font>
    <font>
      <b/>
      <sz val="10.0"/>
      <color rgb="FF1F2937"/>
      <name val="Aptos"/>
    </font>
    <font>
      <sz val="10.0"/>
      <color rgb="FF1F2937"/>
      <name val="Arial"/>
    </font>
    <font>
      <b/>
      <sz val="15.0"/>
      <color rgb="FFFFFFFF"/>
      <name val="Aptos"/>
    </font>
  </fonts>
  <fills count="7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EEF5F7"/>
        <bgColor rgb="FFEEF5F7"/>
      </patternFill>
    </fill>
    <fill>
      <patternFill patternType="solid">
        <fgColor rgb="FFDDEBF0"/>
        <bgColor rgb="FFDDEBF0"/>
      </patternFill>
    </fill>
    <fill>
      <patternFill patternType="solid">
        <fgColor rgb="FFFFFFFF"/>
        <bgColor rgb="FFFFFFFF"/>
      </patternFill>
    </fill>
    <fill>
      <patternFill patternType="solid">
        <fgColor rgb="FF2F6F7E"/>
        <bgColor rgb="FF2F6F7E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shrinkToFit="0" wrapText="1"/>
    </xf>
    <xf borderId="0" fillId="4" fontId="4" numFmtId="0" xfId="0" applyFill="1" applyFont="1"/>
    <xf borderId="0" fillId="5" fontId="4" numFmtId="0" xfId="0" applyAlignment="1" applyFill="1" applyFont="1">
      <alignment horizontal="center"/>
    </xf>
    <xf borderId="0" fillId="5" fontId="4" numFmtId="1" xfId="0" applyAlignment="1" applyFont="1" applyNumberFormat="1">
      <alignment horizontal="center"/>
    </xf>
    <xf borderId="0" fillId="6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6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2" numFmtId="1" xfId="0" applyAlignment="1" applyFont="1" applyNumberFormat="1">
      <alignment shrinkToFit="0" vertical="top" wrapText="1"/>
    </xf>
    <xf borderId="0" fillId="0" fontId="2" numFmtId="1" xfId="0" applyAlignment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/>
    </xf>
    <xf borderId="0" fillId="0" fontId="2" numFmtId="1" xfId="0" applyFont="1" applyNumberFormat="1"/>
    <xf borderId="0" fillId="0" fontId="2" numFmtId="1" xfId="0" applyAlignment="1" applyFont="1" applyNumberFormat="1">
      <alignment horizontal="center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6" numFmtId="0" xfId="0" applyAlignment="1" applyFont="1">
      <alignment horizontal="center" vertical="center"/>
    </xf>
    <xf borderId="0" fillId="6" fontId="4" numFmtId="0" xfId="0" applyAlignment="1" applyFont="1">
      <alignment horizontal="center" shrinkToFit="0" vertical="top" wrapText="1"/>
    </xf>
    <xf borderId="0" fillId="4" fontId="4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Mereni-style">
      <tableStyleElement dxfId="1" type="headerRow"/>
      <tableStyleElement dxfId="2" type="firstRowStripe"/>
      <tableStyleElement dxfId="3" type="secondRowStripe"/>
    </tableStyle>
    <tableStyle count="3" pivot="0" name="Respondent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Medián času podle scénáře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Medián času (s)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Souhrn!$J$10:$J$16</c:f>
            </c:strRef>
          </c:cat>
          <c:val>
            <c:numRef>
              <c:f>Souhrn!$K$10:$K$16</c:f>
              <c:numCache/>
            </c:numRef>
          </c:val>
        </c:ser>
        <c:axId val="897160138"/>
        <c:axId val="483280370"/>
      </c:barChart>
      <c:catAx>
        <c:axId val="897160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280370"/>
      </c:catAx>
      <c:valAx>
        <c:axId val="483280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16013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17</xdr:row>
      <xdr:rowOff>0</xdr:rowOff>
    </xdr:from>
    <xdr:ext cx="44577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5" displayName="Table_1" name="Table_1" id="1">
  <tableColumns count="10">
    <tableColumn name="Scénář" id="1"/>
    <tableColumn name="Účastník" id="2"/>
    <tableColumn name="Role" id="3"/>
    <tableColumn name="Skupina měření" id="4"/>
    <tableColumn name="Dokončeno" id="5"/>
    <tableColumn name="Čas (s)" id="6"/>
    <tableColumn name="Asistence" id="7"/>
    <tableColumn name="Chyby" id="8"/>
    <tableColumn name="Čas text" id="9"/>
    <tableColumn name="Poznámka" id="10"/>
  </tableColumns>
  <tableStyleInfo name="Mereni-style" showColumnStripes="0" showFirstColumn="1" showLastColumn="1" showRowStripes="1"/>
</table>
</file>

<file path=xl/tables/table2.xml><?xml version="1.0" encoding="utf-8"?>
<table xmlns="http://schemas.openxmlformats.org/spreadsheetml/2006/main" ref="A1:D13" displayName="Table_2" name="Table_2" id="2">
  <tableColumns count="4">
    <tableColumn name="Účastník" id="1"/>
    <tableColumn name="Role" id="2"/>
    <tableColumn name="Skupina měření" id="3"/>
    <tableColumn name="Testovaná oblast" id="4"/>
  </tableColumns>
  <tableStyleInfo name="Responden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25"/>
    <col customWidth="1" min="2" max="2" width="33.75"/>
    <col customWidth="1" min="3" max="3" width="11.0"/>
    <col customWidth="1" min="4" max="4" width="12.88"/>
    <col customWidth="1" min="5" max="5" width="12.25"/>
    <col customWidth="1" min="6" max="6" width="17.75"/>
    <col customWidth="1" min="7" max="7" width="9.25"/>
    <col customWidth="1" min="8" max="8" width="10.38"/>
    <col customWidth="1" min="9" max="9" width="50.88"/>
    <col customWidth="1" min="10" max="10" width="1.88"/>
    <col customWidth="1" min="11" max="11" width="9.25"/>
    <col customWidth="1" min="12" max="12" width="12.88"/>
    <col customWidth="1" min="13" max="26" width="8.63"/>
  </cols>
  <sheetData>
    <row r="1">
      <c r="A1" s="1" t="s">
        <v>0</v>
      </c>
      <c r="J1" s="2"/>
      <c r="K1" s="2"/>
      <c r="L1" s="2"/>
    </row>
    <row r="2">
      <c r="A2" s="3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4" t="s">
        <v>1</v>
      </c>
      <c r="B4" s="5">
        <v>12.0</v>
      </c>
      <c r="C4" s="2"/>
      <c r="D4" s="4" t="s">
        <v>2</v>
      </c>
      <c r="E4" s="5">
        <v>7.0</v>
      </c>
      <c r="F4" s="2"/>
      <c r="G4" s="2"/>
      <c r="H4" s="2"/>
      <c r="I4" s="2"/>
      <c r="J4" s="2"/>
      <c r="K4" s="2"/>
      <c r="L4" s="2"/>
    </row>
    <row r="5">
      <c r="A5" s="4" t="s">
        <v>3</v>
      </c>
      <c r="B5" s="5">
        <v>7.0</v>
      </c>
      <c r="C5" s="2"/>
      <c r="D5" s="4" t="s">
        <v>4</v>
      </c>
      <c r="E5" s="5">
        <v>2.0</v>
      </c>
      <c r="F5" s="2"/>
      <c r="G5" s="2"/>
      <c r="H5" s="2"/>
      <c r="I5" s="2"/>
      <c r="J5" s="2"/>
      <c r="K5" s="2"/>
      <c r="L5" s="2"/>
    </row>
    <row r="6">
      <c r="A6" s="4" t="s">
        <v>5</v>
      </c>
      <c r="B6" s="5">
        <f>COUNTIF(Mereni!E2:E48,"ano")</f>
        <v>42</v>
      </c>
      <c r="C6" s="2"/>
      <c r="D6" s="4" t="s">
        <v>6</v>
      </c>
      <c r="E6" s="5">
        <v>2.0</v>
      </c>
      <c r="F6" s="2"/>
      <c r="G6" s="2"/>
      <c r="H6" s="2"/>
      <c r="I6" s="2"/>
      <c r="J6" s="2"/>
      <c r="K6" s="2"/>
      <c r="L6" s="2"/>
    </row>
    <row r="7">
      <c r="A7" s="4" t="s">
        <v>7</v>
      </c>
      <c r="B7" s="6">
        <f>SUM(Mereni!H2:H48)</f>
        <v>9</v>
      </c>
      <c r="C7" s="2"/>
      <c r="D7" s="4" t="s">
        <v>8</v>
      </c>
      <c r="E7" s="5">
        <v>1.0</v>
      </c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26.25" customHeight="1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9</v>
      </c>
      <c r="K9" s="7" t="s">
        <v>18</v>
      </c>
      <c r="L9" s="7" t="s">
        <v>15</v>
      </c>
    </row>
    <row r="10" ht="198.0" customHeight="1">
      <c r="A10" s="8" t="s">
        <v>19</v>
      </c>
      <c r="B10" s="9" t="s">
        <v>20</v>
      </c>
      <c r="C10" s="10" t="str">
        <f>COUNTIFS(Mereni!$A$2:$A$48,A10,Mereni!$E$2:$E$48,"ano")&amp;"/"&amp;COUNTIF(Mereni!$A$2:$A$48,A10)</f>
        <v>7/7</v>
      </c>
      <c r="D10" s="10">
        <f>SUMIF(Mereni!$A$2:$A$48,A10,Mereni!$G$2:$G$48)</f>
        <v>0</v>
      </c>
      <c r="E10" s="10" t="str">
        <f>IFERROR(__xludf.DUMMYFUNCTION("INT(MEDIAN(FILTER(Mereni!$F$2:$F$48,(Mereni!$A$2:$A$48=A10)*(Mereni!$E$2:$E$48=""ano"")))/60)&amp;"" min ""&amp;TEXT(MOD(MEDIAN(FILTER(Mereni!$F$2:$F$48,(Mereni!$A$2:$A$48=A10)*(Mereni!$E$2:$E$48=""ano""))),60),""00"")&amp;"" s"""),"3 min 05 s")</f>
        <v>3 min 05 s</v>
      </c>
      <c r="F10" s="10" t="str">
        <f>IFERROR(__xludf.DUMMYFUNCTION("INT(MIN(FILTER(Mereni!$F$2:$F$48,(Mereni!$A$2:$A$48=A10)*(Mereni!$E$2:$E$48=""ano"")))/60)&amp;"" min ""&amp;TEXT(MOD(MIN(FILTER(Mereni!$F$2:$F$48,(Mereni!$A$2:$A$48=A10)*(Mereni!$E$2:$E$48=""ano""))),60),""00"")&amp;"" s - ""&amp;INT(MAX(FILTER(Mereni!$F$2:$F$48,(Mereni"&amp;"!$A$2:$A$48=A10)*(Mereni!$E$2:$E$48=""ano"")))/60)&amp;"" min ""&amp;TEXT(MOD(MAX(FILTER(Mereni!$F$2:$F$48,(Mereni!$A$2:$A$48=A10)*(Mereni!$E$2:$E$48=""ano""))),60),""00"")&amp;"" s"""),"2 min 45 s - 3 min 40 s")</f>
        <v>2 min 45 s - 3 min 40 s</v>
      </c>
      <c r="G10" s="10">
        <f>SUMIF(Mereni!$A$2:$A$48,A10,Mereni!$H$2:$H$48)</f>
        <v>2</v>
      </c>
      <c r="H10" s="10" t="s">
        <v>21</v>
      </c>
      <c r="I10" s="9" t="s">
        <v>22</v>
      </c>
      <c r="J10" s="2" t="s">
        <v>19</v>
      </c>
      <c r="K10" s="2">
        <v>185.0</v>
      </c>
      <c r="L10" s="2">
        <v>2.0</v>
      </c>
    </row>
    <row r="11" ht="250.5" customHeight="1">
      <c r="A11" s="8" t="s">
        <v>23</v>
      </c>
      <c r="B11" s="9" t="s">
        <v>24</v>
      </c>
      <c r="C11" s="10" t="str">
        <f>COUNTIFS(Mereni!$A$2:$A$48,A11,Mereni!$E$2:$E$48,"ano")&amp;"/"&amp;COUNTIF(Mereni!$A$2:$A$48,A11)</f>
        <v>7/7</v>
      </c>
      <c r="D11" s="10">
        <f>SUMIF(Mereni!$A$2:$A$48,A11,Mereni!$G$2:$G$48)</f>
        <v>1</v>
      </c>
      <c r="E11" s="10" t="str">
        <f>IFERROR(__xludf.DUMMYFUNCTION("INT(MEDIAN(FILTER(Mereni!$F$2:$F$48,(Mereni!$A$2:$A$48=A11)*(Mereni!$E$2:$E$48=""ano"")))/60)&amp;"" min ""&amp;TEXT(MOD(MEDIAN(FILTER(Mereni!$F$2:$F$48,(Mereni!$A$2:$A$48=A11)*(Mereni!$E$2:$E$48=""ano""))),60),""00"")&amp;"" s"""),"2 min 30 s")</f>
        <v>2 min 30 s</v>
      </c>
      <c r="F11" s="10" t="str">
        <f>IFERROR(__xludf.DUMMYFUNCTION("INT(MIN(FILTER(Mereni!$F$2:$F$48,(Mereni!$A$2:$A$48=A11)*(Mereni!$E$2:$E$48=""ano"")))/60)&amp;"" min ""&amp;TEXT(MOD(MIN(FILTER(Mereni!$F$2:$F$48,(Mereni!$A$2:$A$48=A11)*(Mereni!$E$2:$E$48=""ano""))),60),""00"")&amp;"" s - ""&amp;INT(MAX(FILTER(Mereni!$F$2:$F$48,(Mereni"&amp;"!$A$2:$A$48=A11)*(Mereni!$E$2:$E$48=""ano"")))/60)&amp;"" min ""&amp;TEXT(MOD(MAX(FILTER(Mereni!$F$2:$F$48,(Mereni!$A$2:$A$48=A11)*(Mereni!$E$2:$E$48=""ano""))),60),""00"")&amp;"" s"""),"2 min 10 s - 3 min 00 s")</f>
        <v>2 min 10 s - 3 min 00 s</v>
      </c>
      <c r="G11" s="10">
        <f>SUMIF(Mereni!$A$2:$A$48,A11,Mereni!$H$2:$H$48)</f>
        <v>1</v>
      </c>
      <c r="H11" s="10" t="s">
        <v>21</v>
      </c>
      <c r="I11" s="9" t="s">
        <v>25</v>
      </c>
      <c r="J11" s="2" t="s">
        <v>23</v>
      </c>
      <c r="K11" s="2">
        <v>150.0</v>
      </c>
      <c r="L11" s="2">
        <v>1.0</v>
      </c>
    </row>
    <row r="12" ht="250.5" customHeight="1">
      <c r="A12" s="8" t="s">
        <v>26</v>
      </c>
      <c r="B12" s="9" t="s">
        <v>27</v>
      </c>
      <c r="C12" s="10" t="str">
        <f>COUNTIFS(Mereni!$A$2:$A$48,A12,Mereni!$E$2:$E$48,"ano")&amp;"/"&amp;COUNTIF(Mereni!$A$2:$A$48,A12)</f>
        <v>7/7</v>
      </c>
      <c r="D12" s="10">
        <f>SUMIF(Mereni!$A$2:$A$48,A12,Mereni!$G$2:$G$48)</f>
        <v>1</v>
      </c>
      <c r="E12" s="10" t="str">
        <f>IFERROR(__xludf.DUMMYFUNCTION("INT(MEDIAN(FILTER(Mereni!$F$2:$F$48,(Mereni!$A$2:$A$48=A12)*(Mereni!$E$2:$E$48=""ano"")))/60)&amp;"" min ""&amp;TEXT(MOD(MEDIAN(FILTER(Mereni!$F$2:$F$48,(Mereni!$A$2:$A$48=A12)*(Mereni!$E$2:$E$48=""ano""))),60),""00"")&amp;"" s"""),"2 min 45 s")</f>
        <v>2 min 45 s</v>
      </c>
      <c r="F12" s="10" t="str">
        <f>IFERROR(__xludf.DUMMYFUNCTION("INT(MIN(FILTER(Mereni!$F$2:$F$48,(Mereni!$A$2:$A$48=A12)*(Mereni!$E$2:$E$48=""ano"")))/60)&amp;"" min ""&amp;TEXT(MOD(MIN(FILTER(Mereni!$F$2:$F$48,(Mereni!$A$2:$A$48=A12)*(Mereni!$E$2:$E$48=""ano""))),60),""00"")&amp;"" s - ""&amp;INT(MAX(FILTER(Mereni!$F$2:$F$48,(Mereni"&amp;"!$A$2:$A$48=A12)*(Mereni!$E$2:$E$48=""ano"")))/60)&amp;"" min ""&amp;TEXT(MOD(MAX(FILTER(Mereni!$F$2:$F$48,(Mereni!$A$2:$A$48=A12)*(Mereni!$E$2:$E$48=""ano""))),60),""00"")&amp;"" s"""),"2 min 15 s - 3 min 25 s")</f>
        <v>2 min 15 s - 3 min 25 s</v>
      </c>
      <c r="G12" s="10">
        <f>SUMIF(Mereni!$A$2:$A$48,A12,Mereni!$H$2:$H$48)</f>
        <v>1</v>
      </c>
      <c r="H12" s="10" t="s">
        <v>28</v>
      </c>
      <c r="I12" s="9" t="s">
        <v>29</v>
      </c>
      <c r="J12" s="2" t="s">
        <v>26</v>
      </c>
      <c r="K12" s="2">
        <v>165.0</v>
      </c>
      <c r="L12" s="2">
        <v>1.0</v>
      </c>
    </row>
    <row r="13" ht="184.5" customHeight="1">
      <c r="A13" s="8" t="s">
        <v>30</v>
      </c>
      <c r="B13" s="9" t="s">
        <v>31</v>
      </c>
      <c r="C13" s="10" t="str">
        <f>COUNTIFS(Mereni!$A$2:$A$48,A13,Mereni!$E$2:$E$48,"ano")&amp;"/"&amp;COUNTIF(Mereni!$A$2:$A$48,A13)</f>
        <v>7/9</v>
      </c>
      <c r="D13" s="10">
        <f>SUMIF(Mereni!$A$2:$A$48,A13,Mereni!$G$2:$G$48)</f>
        <v>2</v>
      </c>
      <c r="E13" s="10" t="str">
        <f>IFERROR(__xludf.DUMMYFUNCTION("INT(MEDIAN(FILTER(Mereni!$F$2:$F$48,(Mereni!$A$2:$A$48=A13)*(Mereni!$E$2:$E$48=""ano"")))/60)&amp;"" min ""&amp;TEXT(MOD(MEDIAN(FILTER(Mereni!$F$2:$F$48,(Mereni!$A$2:$A$48=A13)*(Mereni!$E$2:$E$48=""ano""))),60),""00"")&amp;"" s"""),"2 min 30 s")</f>
        <v>2 min 30 s</v>
      </c>
      <c r="F13" s="10" t="str">
        <f>IFERROR(__xludf.DUMMYFUNCTION("INT(MIN(FILTER(Mereni!$F$2:$F$48,(Mereni!$A$2:$A$48=A13)*(Mereni!$E$2:$E$48=""ano"")))/60)&amp;"" min ""&amp;TEXT(MOD(MIN(FILTER(Mereni!$F$2:$F$48,(Mereni!$A$2:$A$48=A13)*(Mereni!$E$2:$E$48=""ano""))),60),""00"")&amp;"" s - ""&amp;INT(MAX(FILTER(Mereni!$F$2:$F$48,(Mereni"&amp;"!$A$2:$A$48=A13)*(Mereni!$E$2:$E$48=""ano"")))/60)&amp;"" min ""&amp;TEXT(MOD(MAX(FILTER(Mereni!$F$2:$F$48,(Mereni!$A$2:$A$48=A13)*(Mereni!$E$2:$E$48=""ano""))),60),""00"")&amp;"" s"""),"2 min 00 s - 3 min 25 s")</f>
        <v>2 min 00 s - 3 min 25 s</v>
      </c>
      <c r="G13" s="10">
        <f>SUMIF(Mereni!$A$2:$A$48,A13,Mereni!$H$2:$H$48)</f>
        <v>3</v>
      </c>
      <c r="H13" s="10" t="s">
        <v>32</v>
      </c>
      <c r="I13" s="9" t="s">
        <v>33</v>
      </c>
      <c r="J13" s="2" t="s">
        <v>30</v>
      </c>
      <c r="K13" s="2">
        <v>150.0</v>
      </c>
      <c r="L13" s="2">
        <v>3.0</v>
      </c>
    </row>
    <row r="14" ht="198.0" customHeight="1">
      <c r="A14" s="8" t="s">
        <v>34</v>
      </c>
      <c r="B14" s="9" t="s">
        <v>35</v>
      </c>
      <c r="C14" s="10" t="str">
        <f>COUNTIFS(Mereni!$A$2:$A$48,A14,Mereni!$E$2:$E$48,"ano")&amp;"/"&amp;COUNTIF(Mereni!$A$2:$A$48,A14)</f>
        <v>2/2</v>
      </c>
      <c r="D14" s="10">
        <f>SUMIF(Mereni!$A$2:$A$48,A14,Mereni!$G$2:$G$48)</f>
        <v>0</v>
      </c>
      <c r="E14" s="10" t="str">
        <f>IFERROR(__xludf.DUMMYFUNCTION("INT(MEDIAN(FILTER(Mereni!$F$2:$F$48,(Mereni!$A$2:$A$48=A14)*(Mereni!$E$2:$E$48=""ano"")))/60)&amp;"" min ""&amp;TEXT(MOD(MEDIAN(FILTER(Mereni!$F$2:$F$48,(Mereni!$A$2:$A$48=A14)*(Mereni!$E$2:$E$48=""ano""))),60),""00"")&amp;"" s"""),"5 min 15 s")</f>
        <v>5 min 15 s</v>
      </c>
      <c r="F14" s="10" t="str">
        <f>IFERROR(__xludf.DUMMYFUNCTION("INT(MIN(FILTER(Mereni!$F$2:$F$48,(Mereni!$A$2:$A$48=A14)*(Mereni!$E$2:$E$48=""ano"")))/60)&amp;"" min ""&amp;TEXT(MOD(MIN(FILTER(Mereni!$F$2:$F$48,(Mereni!$A$2:$A$48=A14)*(Mereni!$E$2:$E$48=""ano""))),60),""00"")&amp;"" s - ""&amp;INT(MAX(FILTER(Mereni!$F$2:$F$48,(Mereni"&amp;"!$A$2:$A$48=A14)*(Mereni!$E$2:$E$48=""ano"")))/60)&amp;"" min ""&amp;TEXT(MOD(MAX(FILTER(Mereni!$F$2:$F$48,(Mereni!$A$2:$A$48=A14)*(Mereni!$E$2:$E$48=""ano""))),60),""00"")&amp;"" s"""),"5 min 00 s - 5 min 30 s")</f>
        <v>5 min 00 s - 5 min 30 s</v>
      </c>
      <c r="G14" s="10">
        <f>SUMIF(Mereni!$A$2:$A$48,A14,Mereni!$H$2:$H$48)</f>
        <v>1</v>
      </c>
      <c r="H14" s="10" t="s">
        <v>28</v>
      </c>
      <c r="I14" s="9" t="s">
        <v>36</v>
      </c>
      <c r="J14" s="2" t="s">
        <v>34</v>
      </c>
      <c r="K14" s="2">
        <v>315.0</v>
      </c>
      <c r="L14" s="2">
        <v>1.0</v>
      </c>
    </row>
    <row r="15" ht="184.5" customHeight="1">
      <c r="A15" s="8" t="s">
        <v>37</v>
      </c>
      <c r="B15" s="9" t="s">
        <v>38</v>
      </c>
      <c r="C15" s="10" t="str">
        <f>COUNTIFS(Mereni!$A$2:$A$48,A15,Mereni!$E$2:$E$48,"ano")&amp;"/"&amp;COUNTIF(Mereni!$A$2:$A$48,A15)</f>
        <v>1/1</v>
      </c>
      <c r="D15" s="10">
        <f>SUMIF(Mereni!$A$2:$A$48,A15,Mereni!$G$2:$G$48)</f>
        <v>0</v>
      </c>
      <c r="E15" s="10" t="str">
        <f>IFERROR(__xludf.DUMMYFUNCTION("INT(MEDIAN(FILTER(Mereni!$F$2:$F$48,(Mereni!$A$2:$A$48=A15)*(Mereni!$E$2:$E$48=""ano"")))/60)&amp;"" min ""&amp;TEXT(MOD(MEDIAN(FILTER(Mereni!$F$2:$F$48,(Mereni!$A$2:$A$48=A15)*(Mereni!$E$2:$E$48=""ano""))),60),""00"")&amp;"" s"""),"2 min 50 s")</f>
        <v>2 min 50 s</v>
      </c>
      <c r="F15" s="10" t="str">
        <f>IFERROR(__xludf.DUMMYFUNCTION("INT(MIN(FILTER(Mereni!$F$2:$F$48,(Mereni!$A$2:$A$48=A15)*(Mereni!$E$2:$E$48=""ano"")))/60)&amp;"" min ""&amp;TEXT(MOD(MIN(FILTER(Mereni!$F$2:$F$48,(Mereni!$A$2:$A$48=A15)*(Mereni!$E$2:$E$48=""ano""))),60),""00"")&amp;"" s - ""&amp;INT(MAX(FILTER(Mereni!$F$2:$F$48,(Mereni"&amp;"!$A$2:$A$48=A15)*(Mereni!$E$2:$E$48=""ano"")))/60)&amp;"" min ""&amp;TEXT(MOD(MAX(FILTER(Mereni!$F$2:$F$48,(Mereni!$A$2:$A$48=A15)*(Mereni!$E$2:$E$48=""ano""))),60),""00"")&amp;"" s"""),"2 min 50 s - 2 min 50 s")</f>
        <v>2 min 50 s - 2 min 50 s</v>
      </c>
      <c r="G15" s="10">
        <f>SUMIF(Mereni!$A$2:$A$48,A15,Mereni!$H$2:$H$48)</f>
        <v>0</v>
      </c>
      <c r="H15" s="10" t="s">
        <v>21</v>
      </c>
      <c r="I15" s="9" t="s">
        <v>39</v>
      </c>
      <c r="J15" s="2" t="s">
        <v>37</v>
      </c>
      <c r="K15" s="2">
        <v>170.0</v>
      </c>
      <c r="L15" s="2">
        <v>0.0</v>
      </c>
    </row>
    <row r="16" ht="198.0" customHeight="1">
      <c r="A16" s="8" t="s">
        <v>40</v>
      </c>
      <c r="B16" s="9" t="s">
        <v>41</v>
      </c>
      <c r="C16" s="10" t="str">
        <f>COUNTIFS(Mereni!$A$2:$A$48,A16,Mereni!$E$2:$E$48,"ano")&amp;"/"&amp;COUNTIF(Mereni!$A$2:$A$48,A16)</f>
        <v>11/11</v>
      </c>
      <c r="D16" s="10">
        <f>SUMIF(Mereni!$A$2:$A$48,A16,Mereni!$G$2:$G$48)</f>
        <v>0</v>
      </c>
      <c r="E16" s="10" t="str">
        <f>IFERROR(__xludf.DUMMYFUNCTION("INT(MEDIAN(FILTER(Mereni!$F$2:$F$48,(Mereni!$A$2:$A$48=A16)*(Mereni!$E$2:$E$48=""ano"")))/60)&amp;"" min ""&amp;TEXT(MOD(MEDIAN(FILTER(Mereni!$F$2:$F$48,(Mereni!$A$2:$A$48=A16)*(Mereni!$E$2:$E$48=""ano""))),60),""00"")&amp;"" s"""),"1 min 40 s")</f>
        <v>1 min 40 s</v>
      </c>
      <c r="F16" s="10" t="str">
        <f>IFERROR(__xludf.DUMMYFUNCTION("INT(MIN(FILTER(Mereni!$F$2:$F$48,(Mereni!$A$2:$A$48=A16)*(Mereni!$E$2:$E$48=""ano"")))/60)&amp;"" min ""&amp;TEXT(MOD(MIN(FILTER(Mereni!$F$2:$F$48,(Mereni!$A$2:$A$48=A16)*(Mereni!$E$2:$E$48=""ano""))),60),""00"")&amp;"" s - ""&amp;INT(MAX(FILTER(Mereni!$F$2:$F$48,(Mereni"&amp;"!$A$2:$A$48=A16)*(Mereni!$E$2:$E$48=""ano"")))/60)&amp;"" min ""&amp;TEXT(MOD(MAX(FILTER(Mereni!$F$2:$F$48,(Mereni!$A$2:$A$48=A16)*(Mereni!$E$2:$E$48=""ano""))),60),""00"")&amp;"" s"""),"1 min 15 s - 2 min 20 s")</f>
        <v>1 min 15 s - 2 min 20 s</v>
      </c>
      <c r="G16" s="10">
        <f>SUMIF(Mereni!$A$2:$A$48,A16,Mereni!$H$2:$H$48)</f>
        <v>1</v>
      </c>
      <c r="H16" s="10" t="s">
        <v>21</v>
      </c>
      <c r="I16" s="9" t="s">
        <v>42</v>
      </c>
      <c r="J16" s="2" t="s">
        <v>40</v>
      </c>
      <c r="K16" s="2">
        <v>100.0</v>
      </c>
      <c r="L16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9.25"/>
    <col customWidth="1" min="3" max="3" width="22.75"/>
    <col customWidth="1" min="4" max="4" width="16.0"/>
    <col customWidth="1" min="5" max="5" width="11.0"/>
    <col customWidth="1" min="6" max="6" width="8.63"/>
    <col customWidth="1" min="7" max="7" width="9.25"/>
    <col customWidth="1" min="8" max="8" width="8.0"/>
    <col customWidth="1" min="9" max="9" width="10.38"/>
    <col customWidth="1" min="10" max="10" width="63.25"/>
    <col customWidth="1" min="11" max="26" width="8.63"/>
  </cols>
  <sheetData>
    <row r="1">
      <c r="A1" s="11" t="s">
        <v>9</v>
      </c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1" t="s">
        <v>17</v>
      </c>
    </row>
    <row r="2">
      <c r="A2" s="12" t="s">
        <v>19</v>
      </c>
      <c r="B2" s="12" t="s">
        <v>51</v>
      </c>
      <c r="C2" s="12" t="s">
        <v>52</v>
      </c>
      <c r="D2" s="13" t="s">
        <v>53</v>
      </c>
      <c r="E2" s="12" t="s">
        <v>54</v>
      </c>
      <c r="F2" s="14">
        <v>165.0</v>
      </c>
      <c r="G2" s="15">
        <v>0.0</v>
      </c>
      <c r="H2" s="15">
        <v>0.0</v>
      </c>
      <c r="I2" s="16" t="s">
        <v>55</v>
      </c>
      <c r="J2" s="16" t="s">
        <v>56</v>
      </c>
    </row>
    <row r="3">
      <c r="A3" s="12" t="s">
        <v>19</v>
      </c>
      <c r="B3" s="12" t="s">
        <v>57</v>
      </c>
      <c r="C3" s="12" t="s">
        <v>52</v>
      </c>
      <c r="D3" s="17" t="s">
        <v>53</v>
      </c>
      <c r="E3" s="12" t="s">
        <v>54</v>
      </c>
      <c r="F3" s="14">
        <v>175.0</v>
      </c>
      <c r="G3" s="15">
        <v>0.0</v>
      </c>
      <c r="H3" s="15">
        <v>0.0</v>
      </c>
      <c r="I3" s="16" t="s">
        <v>58</v>
      </c>
      <c r="J3" s="16" t="s">
        <v>59</v>
      </c>
    </row>
    <row r="4">
      <c r="A4" s="12" t="s">
        <v>19</v>
      </c>
      <c r="B4" s="12" t="s">
        <v>60</v>
      </c>
      <c r="C4" s="12" t="s">
        <v>52</v>
      </c>
      <c r="D4" s="17" t="s">
        <v>53</v>
      </c>
      <c r="E4" s="12" t="s">
        <v>54</v>
      </c>
      <c r="F4" s="14">
        <v>180.0</v>
      </c>
      <c r="G4" s="15">
        <v>0.0</v>
      </c>
      <c r="H4" s="15">
        <v>0.0</v>
      </c>
      <c r="I4" s="16" t="s">
        <v>61</v>
      </c>
      <c r="J4" s="16" t="s">
        <v>62</v>
      </c>
    </row>
    <row r="5">
      <c r="A5" s="12" t="s">
        <v>19</v>
      </c>
      <c r="B5" s="12" t="s">
        <v>63</v>
      </c>
      <c r="C5" s="12" t="s">
        <v>52</v>
      </c>
      <c r="D5" s="17" t="s">
        <v>53</v>
      </c>
      <c r="E5" s="12" t="s">
        <v>54</v>
      </c>
      <c r="F5" s="14">
        <v>185.0</v>
      </c>
      <c r="G5" s="15">
        <v>0.0</v>
      </c>
      <c r="H5" s="15">
        <v>1.0</v>
      </c>
      <c r="I5" s="16" t="s">
        <v>64</v>
      </c>
      <c r="J5" s="16" t="s">
        <v>65</v>
      </c>
    </row>
    <row r="6">
      <c r="A6" s="12" t="s">
        <v>19</v>
      </c>
      <c r="B6" s="12" t="s">
        <v>66</v>
      </c>
      <c r="C6" s="12" t="s">
        <v>52</v>
      </c>
      <c r="D6" s="17" t="s">
        <v>53</v>
      </c>
      <c r="E6" s="12" t="s">
        <v>54</v>
      </c>
      <c r="F6" s="14">
        <v>190.0</v>
      </c>
      <c r="G6" s="15">
        <v>0.0</v>
      </c>
      <c r="H6" s="15">
        <v>0.0</v>
      </c>
      <c r="I6" s="16" t="s">
        <v>67</v>
      </c>
      <c r="J6" s="16" t="s">
        <v>68</v>
      </c>
    </row>
    <row r="7">
      <c r="A7" s="12" t="s">
        <v>19</v>
      </c>
      <c r="B7" s="12" t="s">
        <v>69</v>
      </c>
      <c r="C7" s="12" t="s">
        <v>52</v>
      </c>
      <c r="D7" s="17" t="s">
        <v>53</v>
      </c>
      <c r="E7" s="12" t="s">
        <v>54</v>
      </c>
      <c r="F7" s="14">
        <v>205.0</v>
      </c>
      <c r="G7" s="15">
        <v>0.0</v>
      </c>
      <c r="H7" s="15">
        <v>1.0</v>
      </c>
      <c r="I7" s="16" t="s">
        <v>70</v>
      </c>
      <c r="J7" s="16" t="s">
        <v>71</v>
      </c>
    </row>
    <row r="8">
      <c r="A8" s="12" t="s">
        <v>19</v>
      </c>
      <c r="B8" s="12" t="s">
        <v>72</v>
      </c>
      <c r="C8" s="12" t="s">
        <v>52</v>
      </c>
      <c r="D8" s="17" t="s">
        <v>53</v>
      </c>
      <c r="E8" s="12" t="s">
        <v>54</v>
      </c>
      <c r="F8" s="14">
        <v>220.0</v>
      </c>
      <c r="G8" s="15">
        <v>0.0</v>
      </c>
      <c r="H8" s="15">
        <v>0.0</v>
      </c>
      <c r="I8" s="16" t="s">
        <v>73</v>
      </c>
      <c r="J8" s="16" t="s">
        <v>74</v>
      </c>
    </row>
    <row r="9">
      <c r="A9" s="12" t="s">
        <v>23</v>
      </c>
      <c r="B9" s="12" t="s">
        <v>51</v>
      </c>
      <c r="C9" s="12" t="s">
        <v>52</v>
      </c>
      <c r="D9" s="17" t="s">
        <v>53</v>
      </c>
      <c r="E9" s="12" t="s">
        <v>54</v>
      </c>
      <c r="F9" s="14">
        <v>130.0</v>
      </c>
      <c r="G9" s="15">
        <v>0.0</v>
      </c>
      <c r="H9" s="15">
        <v>0.0</v>
      </c>
      <c r="I9" s="16" t="s">
        <v>75</v>
      </c>
      <c r="J9" s="16" t="s">
        <v>76</v>
      </c>
    </row>
    <row r="10">
      <c r="A10" s="12" t="s">
        <v>23</v>
      </c>
      <c r="B10" s="12" t="s">
        <v>57</v>
      </c>
      <c r="C10" s="12" t="s">
        <v>52</v>
      </c>
      <c r="D10" s="17" t="s">
        <v>53</v>
      </c>
      <c r="E10" s="12" t="s">
        <v>54</v>
      </c>
      <c r="F10" s="14">
        <v>140.0</v>
      </c>
      <c r="G10" s="15">
        <v>0.0</v>
      </c>
      <c r="H10" s="15">
        <v>0.0</v>
      </c>
      <c r="I10" s="16" t="s">
        <v>77</v>
      </c>
      <c r="J10" s="16" t="s">
        <v>78</v>
      </c>
    </row>
    <row r="11">
      <c r="A11" s="12" t="s">
        <v>23</v>
      </c>
      <c r="B11" s="12" t="s">
        <v>60</v>
      </c>
      <c r="C11" s="12" t="s">
        <v>52</v>
      </c>
      <c r="D11" s="17" t="s">
        <v>53</v>
      </c>
      <c r="E11" s="12" t="s">
        <v>54</v>
      </c>
      <c r="F11" s="14">
        <v>145.0</v>
      </c>
      <c r="G11" s="15">
        <v>0.0</v>
      </c>
      <c r="H11" s="15">
        <v>0.0</v>
      </c>
      <c r="I11" s="16" t="s">
        <v>79</v>
      </c>
      <c r="J11" s="16" t="s">
        <v>80</v>
      </c>
    </row>
    <row r="12">
      <c r="A12" s="12" t="s">
        <v>23</v>
      </c>
      <c r="B12" s="12" t="s">
        <v>63</v>
      </c>
      <c r="C12" s="12" t="s">
        <v>52</v>
      </c>
      <c r="D12" s="17" t="s">
        <v>53</v>
      </c>
      <c r="E12" s="12" t="s">
        <v>54</v>
      </c>
      <c r="F12" s="14">
        <v>150.0</v>
      </c>
      <c r="G12" s="15">
        <v>0.0</v>
      </c>
      <c r="H12" s="15">
        <v>0.0</v>
      </c>
      <c r="I12" s="16" t="s">
        <v>81</v>
      </c>
      <c r="J12" s="16" t="s">
        <v>82</v>
      </c>
    </row>
    <row r="13">
      <c r="A13" s="12" t="s">
        <v>23</v>
      </c>
      <c r="B13" s="12" t="s">
        <v>66</v>
      </c>
      <c r="C13" s="12" t="s">
        <v>52</v>
      </c>
      <c r="D13" s="17" t="s">
        <v>53</v>
      </c>
      <c r="E13" s="12" t="s">
        <v>54</v>
      </c>
      <c r="F13" s="14">
        <v>155.0</v>
      </c>
      <c r="G13" s="15">
        <v>1.0</v>
      </c>
      <c r="H13" s="15">
        <v>1.0</v>
      </c>
      <c r="I13" s="16" t="s">
        <v>83</v>
      </c>
      <c r="J13" s="16" t="s">
        <v>84</v>
      </c>
    </row>
    <row r="14">
      <c r="A14" s="12" t="s">
        <v>23</v>
      </c>
      <c r="B14" s="12" t="s">
        <v>69</v>
      </c>
      <c r="C14" s="12" t="s">
        <v>52</v>
      </c>
      <c r="D14" s="17" t="s">
        <v>53</v>
      </c>
      <c r="E14" s="12" t="s">
        <v>54</v>
      </c>
      <c r="F14" s="14">
        <v>165.0</v>
      </c>
      <c r="G14" s="15">
        <v>0.0</v>
      </c>
      <c r="H14" s="15">
        <v>0.0</v>
      </c>
      <c r="I14" s="16" t="s">
        <v>55</v>
      </c>
      <c r="J14" s="16" t="s">
        <v>85</v>
      </c>
    </row>
    <row r="15">
      <c r="A15" s="12" t="s">
        <v>23</v>
      </c>
      <c r="B15" s="12" t="s">
        <v>72</v>
      </c>
      <c r="C15" s="12" t="s">
        <v>52</v>
      </c>
      <c r="D15" s="17" t="s">
        <v>53</v>
      </c>
      <c r="E15" s="12" t="s">
        <v>54</v>
      </c>
      <c r="F15" s="14">
        <v>180.0</v>
      </c>
      <c r="G15" s="15">
        <v>0.0</v>
      </c>
      <c r="H15" s="15">
        <v>0.0</v>
      </c>
      <c r="I15" s="16" t="s">
        <v>61</v>
      </c>
      <c r="J15" s="16" t="s">
        <v>86</v>
      </c>
    </row>
    <row r="16">
      <c r="A16" s="12" t="s">
        <v>26</v>
      </c>
      <c r="B16" s="12" t="s">
        <v>51</v>
      </c>
      <c r="C16" s="12" t="s">
        <v>52</v>
      </c>
      <c r="D16" s="17" t="s">
        <v>53</v>
      </c>
      <c r="E16" s="12" t="s">
        <v>54</v>
      </c>
      <c r="F16" s="14">
        <v>135.0</v>
      </c>
      <c r="G16" s="15">
        <v>0.0</v>
      </c>
      <c r="H16" s="15">
        <v>0.0</v>
      </c>
      <c r="I16" s="16" t="s">
        <v>87</v>
      </c>
      <c r="J16" s="16" t="s">
        <v>88</v>
      </c>
    </row>
    <row r="17">
      <c r="A17" s="12" t="s">
        <v>26</v>
      </c>
      <c r="B17" s="12" t="s">
        <v>57</v>
      </c>
      <c r="C17" s="12" t="s">
        <v>52</v>
      </c>
      <c r="D17" s="17" t="s">
        <v>53</v>
      </c>
      <c r="E17" s="12" t="s">
        <v>54</v>
      </c>
      <c r="F17" s="14">
        <v>150.0</v>
      </c>
      <c r="G17" s="15">
        <v>0.0</v>
      </c>
      <c r="H17" s="15">
        <v>0.0</v>
      </c>
      <c r="I17" s="16" t="s">
        <v>81</v>
      </c>
      <c r="J17" s="16" t="s">
        <v>89</v>
      </c>
    </row>
    <row r="18">
      <c r="A18" s="12" t="s">
        <v>26</v>
      </c>
      <c r="B18" s="12" t="s">
        <v>60</v>
      </c>
      <c r="C18" s="12" t="s">
        <v>52</v>
      </c>
      <c r="D18" s="17" t="s">
        <v>53</v>
      </c>
      <c r="E18" s="12" t="s">
        <v>54</v>
      </c>
      <c r="F18" s="14">
        <v>160.0</v>
      </c>
      <c r="G18" s="15">
        <v>0.0</v>
      </c>
      <c r="H18" s="15">
        <v>0.0</v>
      </c>
      <c r="I18" s="16" t="s">
        <v>90</v>
      </c>
      <c r="J18" s="16" t="s">
        <v>91</v>
      </c>
    </row>
    <row r="19">
      <c r="A19" s="12" t="s">
        <v>26</v>
      </c>
      <c r="B19" s="12" t="s">
        <v>63</v>
      </c>
      <c r="C19" s="12" t="s">
        <v>52</v>
      </c>
      <c r="D19" s="17" t="s">
        <v>53</v>
      </c>
      <c r="E19" s="12" t="s">
        <v>54</v>
      </c>
      <c r="F19" s="14">
        <v>165.0</v>
      </c>
      <c r="G19" s="15">
        <v>0.0</v>
      </c>
      <c r="H19" s="15">
        <v>0.0</v>
      </c>
      <c r="I19" s="16" t="s">
        <v>55</v>
      </c>
      <c r="J19" s="16" t="s">
        <v>92</v>
      </c>
    </row>
    <row r="20">
      <c r="A20" s="12" t="s">
        <v>26</v>
      </c>
      <c r="B20" s="12" t="s">
        <v>66</v>
      </c>
      <c r="C20" s="12" t="s">
        <v>52</v>
      </c>
      <c r="D20" s="17" t="s">
        <v>53</v>
      </c>
      <c r="E20" s="12" t="s">
        <v>54</v>
      </c>
      <c r="F20" s="14">
        <v>175.0</v>
      </c>
      <c r="G20" s="15">
        <v>1.0</v>
      </c>
      <c r="H20" s="15">
        <v>1.0</v>
      </c>
      <c r="I20" s="16" t="s">
        <v>58</v>
      </c>
      <c r="J20" s="16" t="s">
        <v>93</v>
      </c>
    </row>
    <row r="21" ht="15.75" customHeight="1">
      <c r="A21" s="12" t="s">
        <v>26</v>
      </c>
      <c r="B21" s="12" t="s">
        <v>69</v>
      </c>
      <c r="C21" s="12" t="s">
        <v>52</v>
      </c>
      <c r="D21" s="17" t="s">
        <v>53</v>
      </c>
      <c r="E21" s="12" t="s">
        <v>54</v>
      </c>
      <c r="F21" s="14">
        <v>190.0</v>
      </c>
      <c r="G21" s="15">
        <v>0.0</v>
      </c>
      <c r="H21" s="15">
        <v>0.0</v>
      </c>
      <c r="I21" s="16" t="s">
        <v>67</v>
      </c>
      <c r="J21" s="16" t="s">
        <v>94</v>
      </c>
    </row>
    <row r="22" ht="15.75" customHeight="1">
      <c r="A22" s="12" t="s">
        <v>26</v>
      </c>
      <c r="B22" s="12" t="s">
        <v>72</v>
      </c>
      <c r="C22" s="12" t="s">
        <v>52</v>
      </c>
      <c r="D22" s="17" t="s">
        <v>53</v>
      </c>
      <c r="E22" s="12" t="s">
        <v>54</v>
      </c>
      <c r="F22" s="14">
        <v>205.0</v>
      </c>
      <c r="G22" s="15">
        <v>0.0</v>
      </c>
      <c r="H22" s="15">
        <v>0.0</v>
      </c>
      <c r="I22" s="16" t="s">
        <v>70</v>
      </c>
      <c r="J22" s="16" t="s">
        <v>95</v>
      </c>
    </row>
    <row r="23" ht="15.75" customHeight="1">
      <c r="A23" s="12" t="s">
        <v>30</v>
      </c>
      <c r="B23" s="12" t="s">
        <v>51</v>
      </c>
      <c r="C23" s="12" t="s">
        <v>52</v>
      </c>
      <c r="D23" s="17" t="s">
        <v>53</v>
      </c>
      <c r="E23" s="12" t="s">
        <v>54</v>
      </c>
      <c r="F23" s="14">
        <v>120.0</v>
      </c>
      <c r="G23" s="15">
        <v>0.0</v>
      </c>
      <c r="H23" s="15">
        <v>0.0</v>
      </c>
      <c r="I23" s="16" t="s">
        <v>96</v>
      </c>
      <c r="J23" s="16" t="s">
        <v>97</v>
      </c>
    </row>
    <row r="24" ht="15.75" customHeight="1">
      <c r="A24" s="12" t="s">
        <v>30</v>
      </c>
      <c r="B24" s="12" t="s">
        <v>57</v>
      </c>
      <c r="C24" s="12" t="s">
        <v>52</v>
      </c>
      <c r="D24" s="17" t="s">
        <v>53</v>
      </c>
      <c r="E24" s="12" t="s">
        <v>54</v>
      </c>
      <c r="F24" s="14">
        <v>135.0</v>
      </c>
      <c r="G24" s="15">
        <v>0.0</v>
      </c>
      <c r="H24" s="15">
        <v>0.0</v>
      </c>
      <c r="I24" s="16" t="s">
        <v>87</v>
      </c>
      <c r="J24" s="16" t="s">
        <v>98</v>
      </c>
    </row>
    <row r="25" ht="15.75" customHeight="1">
      <c r="A25" s="12" t="s">
        <v>30</v>
      </c>
      <c r="B25" s="12" t="s">
        <v>60</v>
      </c>
      <c r="C25" s="12" t="s">
        <v>52</v>
      </c>
      <c r="D25" s="17" t="s">
        <v>53</v>
      </c>
      <c r="E25" s="12" t="s">
        <v>54</v>
      </c>
      <c r="F25" s="14">
        <v>145.0</v>
      </c>
      <c r="G25" s="15">
        <v>0.0</v>
      </c>
      <c r="H25" s="15">
        <v>0.0</v>
      </c>
      <c r="I25" s="16" t="s">
        <v>79</v>
      </c>
      <c r="J25" s="16" t="s">
        <v>99</v>
      </c>
    </row>
    <row r="26" ht="15.75" customHeight="1">
      <c r="A26" s="12" t="s">
        <v>30</v>
      </c>
      <c r="B26" s="12" t="s">
        <v>63</v>
      </c>
      <c r="C26" s="12" t="s">
        <v>52</v>
      </c>
      <c r="D26" s="17" t="s">
        <v>53</v>
      </c>
      <c r="E26" s="12" t="s">
        <v>54</v>
      </c>
      <c r="F26" s="14">
        <v>150.0</v>
      </c>
      <c r="G26" s="15">
        <v>1.0</v>
      </c>
      <c r="H26" s="15">
        <v>1.0</v>
      </c>
      <c r="I26" s="16" t="s">
        <v>81</v>
      </c>
      <c r="J26" s="16" t="s">
        <v>100</v>
      </c>
    </row>
    <row r="27" ht="15.75" customHeight="1">
      <c r="A27" s="12" t="s">
        <v>30</v>
      </c>
      <c r="B27" s="12" t="s">
        <v>66</v>
      </c>
      <c r="C27" s="12" t="s">
        <v>52</v>
      </c>
      <c r="D27" s="17" t="s">
        <v>53</v>
      </c>
      <c r="E27" s="12" t="s">
        <v>54</v>
      </c>
      <c r="F27" s="14">
        <v>165.0</v>
      </c>
      <c r="G27" s="15">
        <v>0.0</v>
      </c>
      <c r="H27" s="15">
        <v>0.0</v>
      </c>
      <c r="I27" s="16" t="s">
        <v>55</v>
      </c>
      <c r="J27" s="16" t="s">
        <v>101</v>
      </c>
    </row>
    <row r="28" ht="15.75" customHeight="1">
      <c r="A28" s="12" t="s">
        <v>30</v>
      </c>
      <c r="B28" s="12" t="s">
        <v>69</v>
      </c>
      <c r="C28" s="12" t="s">
        <v>52</v>
      </c>
      <c r="D28" s="17" t="s">
        <v>53</v>
      </c>
      <c r="E28" s="12" t="s">
        <v>54</v>
      </c>
      <c r="F28" s="14">
        <v>180.0</v>
      </c>
      <c r="G28" s="15">
        <v>0.0</v>
      </c>
      <c r="H28" s="15">
        <v>0.0</v>
      </c>
      <c r="I28" s="16" t="s">
        <v>61</v>
      </c>
      <c r="J28" s="16" t="s">
        <v>102</v>
      </c>
    </row>
    <row r="29" ht="15.75" customHeight="1">
      <c r="A29" s="12" t="s">
        <v>30</v>
      </c>
      <c r="B29" s="12" t="s">
        <v>72</v>
      </c>
      <c r="C29" s="12" t="s">
        <v>52</v>
      </c>
      <c r="D29" s="17" t="s">
        <v>53</v>
      </c>
      <c r="E29" s="12" t="s">
        <v>103</v>
      </c>
      <c r="F29" s="14"/>
      <c r="G29" s="15">
        <v>0.0</v>
      </c>
      <c r="H29" s="15">
        <v>1.0</v>
      </c>
      <c r="I29" s="16"/>
      <c r="J29" s="16" t="s">
        <v>104</v>
      </c>
    </row>
    <row r="30" ht="15.75" customHeight="1">
      <c r="A30" s="12" t="s">
        <v>30</v>
      </c>
      <c r="B30" s="12" t="s">
        <v>105</v>
      </c>
      <c r="C30" s="12" t="s">
        <v>106</v>
      </c>
      <c r="D30" s="17" t="s">
        <v>53</v>
      </c>
      <c r="E30" s="12" t="s">
        <v>54</v>
      </c>
      <c r="F30" s="14">
        <v>205.0</v>
      </c>
      <c r="G30" s="15">
        <v>0.0</v>
      </c>
      <c r="H30" s="15">
        <v>0.0</v>
      </c>
      <c r="I30" s="16" t="s">
        <v>70</v>
      </c>
      <c r="J30" s="16" t="s">
        <v>107</v>
      </c>
    </row>
    <row r="31" ht="15.75" customHeight="1">
      <c r="A31" s="12" t="s">
        <v>30</v>
      </c>
      <c r="B31" s="12" t="s">
        <v>108</v>
      </c>
      <c r="C31" s="12" t="s">
        <v>106</v>
      </c>
      <c r="D31" s="17" t="s">
        <v>53</v>
      </c>
      <c r="E31" s="12" t="s">
        <v>103</v>
      </c>
      <c r="F31" s="14"/>
      <c r="G31" s="15">
        <v>1.0</v>
      </c>
      <c r="H31" s="15">
        <v>1.0</v>
      </c>
      <c r="I31" s="16"/>
      <c r="J31" s="16" t="s">
        <v>109</v>
      </c>
    </row>
    <row r="32" ht="15.75" customHeight="1">
      <c r="A32" s="12" t="s">
        <v>34</v>
      </c>
      <c r="B32" s="12" t="s">
        <v>110</v>
      </c>
      <c r="C32" s="12" t="s">
        <v>111</v>
      </c>
      <c r="D32" s="12" t="s">
        <v>112</v>
      </c>
      <c r="E32" s="12" t="s">
        <v>54</v>
      </c>
      <c r="F32" s="14">
        <v>300.0</v>
      </c>
      <c r="G32" s="15">
        <v>0.0</v>
      </c>
      <c r="H32" s="15">
        <v>0.0</v>
      </c>
      <c r="I32" s="16" t="s">
        <v>113</v>
      </c>
      <c r="J32" s="16" t="s">
        <v>114</v>
      </c>
    </row>
    <row r="33" ht="15.75" customHeight="1">
      <c r="A33" s="12" t="s">
        <v>34</v>
      </c>
      <c r="B33" s="12" t="s">
        <v>115</v>
      </c>
      <c r="C33" s="12" t="s">
        <v>111</v>
      </c>
      <c r="D33" s="12" t="s">
        <v>112</v>
      </c>
      <c r="E33" s="12" t="s">
        <v>54</v>
      </c>
      <c r="F33" s="14">
        <v>330.0</v>
      </c>
      <c r="G33" s="15">
        <v>0.0</v>
      </c>
      <c r="H33" s="15">
        <v>1.0</v>
      </c>
      <c r="I33" s="16" t="s">
        <v>116</v>
      </c>
      <c r="J33" s="16" t="s">
        <v>117</v>
      </c>
    </row>
    <row r="34" ht="15.75" customHeight="1">
      <c r="A34" s="12" t="s">
        <v>37</v>
      </c>
      <c r="B34" s="12" t="s">
        <v>118</v>
      </c>
      <c r="C34" s="12" t="s">
        <v>119</v>
      </c>
      <c r="D34" s="12" t="s">
        <v>112</v>
      </c>
      <c r="E34" s="12" t="s">
        <v>54</v>
      </c>
      <c r="F34" s="14">
        <v>170.0</v>
      </c>
      <c r="G34" s="15">
        <v>0.0</v>
      </c>
      <c r="H34" s="15">
        <v>0.0</v>
      </c>
      <c r="I34" s="16" t="s">
        <v>120</v>
      </c>
      <c r="J34" s="16" t="s">
        <v>121</v>
      </c>
    </row>
    <row r="35" ht="15.75" customHeight="1">
      <c r="A35" s="12" t="s">
        <v>40</v>
      </c>
      <c r="B35" s="12" t="s">
        <v>51</v>
      </c>
      <c r="C35" s="12" t="s">
        <v>52</v>
      </c>
      <c r="D35" s="17" t="s">
        <v>53</v>
      </c>
      <c r="E35" s="12" t="s">
        <v>54</v>
      </c>
      <c r="F35" s="14">
        <v>75.0</v>
      </c>
      <c r="G35" s="15">
        <v>0.0</v>
      </c>
      <c r="H35" s="15">
        <v>0.0</v>
      </c>
      <c r="I35" s="16" t="s">
        <v>122</v>
      </c>
      <c r="J35" s="16" t="s">
        <v>123</v>
      </c>
    </row>
    <row r="36" ht="15.75" customHeight="1">
      <c r="A36" s="12" t="s">
        <v>40</v>
      </c>
      <c r="B36" s="12" t="s">
        <v>57</v>
      </c>
      <c r="C36" s="12" t="s">
        <v>52</v>
      </c>
      <c r="D36" s="17" t="s">
        <v>53</v>
      </c>
      <c r="E36" s="12" t="s">
        <v>54</v>
      </c>
      <c r="F36" s="14">
        <v>82.0</v>
      </c>
      <c r="G36" s="15">
        <v>0.0</v>
      </c>
      <c r="H36" s="15">
        <v>0.0</v>
      </c>
      <c r="I36" s="16" t="s">
        <v>124</v>
      </c>
      <c r="J36" s="16" t="s">
        <v>125</v>
      </c>
    </row>
    <row r="37" ht="15.75" customHeight="1">
      <c r="A37" s="12" t="s">
        <v>40</v>
      </c>
      <c r="B37" s="12" t="s">
        <v>60</v>
      </c>
      <c r="C37" s="12" t="s">
        <v>52</v>
      </c>
      <c r="D37" s="17" t="s">
        <v>53</v>
      </c>
      <c r="E37" s="12" t="s">
        <v>54</v>
      </c>
      <c r="F37" s="14">
        <v>90.0</v>
      </c>
      <c r="G37" s="15">
        <v>0.0</v>
      </c>
      <c r="H37" s="15">
        <v>0.0</v>
      </c>
      <c r="I37" s="16" t="s">
        <v>126</v>
      </c>
      <c r="J37" s="16" t="s">
        <v>127</v>
      </c>
    </row>
    <row r="38" ht="15.75" customHeight="1">
      <c r="A38" s="12" t="s">
        <v>40</v>
      </c>
      <c r="B38" s="12" t="s">
        <v>63</v>
      </c>
      <c r="C38" s="12" t="s">
        <v>52</v>
      </c>
      <c r="D38" s="17" t="s">
        <v>53</v>
      </c>
      <c r="E38" s="12" t="s">
        <v>54</v>
      </c>
      <c r="F38" s="14">
        <v>95.0</v>
      </c>
      <c r="G38" s="15">
        <v>0.0</v>
      </c>
      <c r="H38" s="15">
        <v>0.0</v>
      </c>
      <c r="I38" s="16" t="s">
        <v>128</v>
      </c>
      <c r="J38" s="16" t="s">
        <v>129</v>
      </c>
    </row>
    <row r="39" ht="15.75" customHeight="1">
      <c r="A39" s="12" t="s">
        <v>40</v>
      </c>
      <c r="B39" s="12" t="s">
        <v>66</v>
      </c>
      <c r="C39" s="12" t="s">
        <v>52</v>
      </c>
      <c r="D39" s="17" t="s">
        <v>53</v>
      </c>
      <c r="E39" s="12" t="s">
        <v>54</v>
      </c>
      <c r="F39" s="14">
        <v>98.0</v>
      </c>
      <c r="G39" s="15">
        <v>0.0</v>
      </c>
      <c r="H39" s="15">
        <v>0.0</v>
      </c>
      <c r="I39" s="16" t="s">
        <v>130</v>
      </c>
      <c r="J39" s="16" t="s">
        <v>131</v>
      </c>
    </row>
    <row r="40" ht="15.75" customHeight="1">
      <c r="A40" s="12" t="s">
        <v>40</v>
      </c>
      <c r="B40" s="12" t="s">
        <v>69</v>
      </c>
      <c r="C40" s="12" t="s">
        <v>52</v>
      </c>
      <c r="D40" s="17" t="s">
        <v>53</v>
      </c>
      <c r="E40" s="12" t="s">
        <v>54</v>
      </c>
      <c r="F40" s="14">
        <v>100.0</v>
      </c>
      <c r="G40" s="15">
        <v>0.0</v>
      </c>
      <c r="H40" s="15">
        <v>0.0</v>
      </c>
      <c r="I40" s="16" t="s">
        <v>132</v>
      </c>
      <c r="J40" s="16" t="s">
        <v>133</v>
      </c>
    </row>
    <row r="41" ht="15.75" customHeight="1">
      <c r="A41" s="12" t="s">
        <v>40</v>
      </c>
      <c r="B41" s="12" t="s">
        <v>72</v>
      </c>
      <c r="C41" s="12" t="s">
        <v>52</v>
      </c>
      <c r="D41" s="17" t="s">
        <v>53</v>
      </c>
      <c r="E41" s="12" t="s">
        <v>54</v>
      </c>
      <c r="F41" s="14">
        <v>105.0</v>
      </c>
      <c r="G41" s="15">
        <v>0.0</v>
      </c>
      <c r="H41" s="15">
        <v>1.0</v>
      </c>
      <c r="I41" s="16" t="s">
        <v>134</v>
      </c>
      <c r="J41" s="16" t="s">
        <v>135</v>
      </c>
    </row>
    <row r="42" ht="15.75" customHeight="1">
      <c r="A42" s="12" t="s">
        <v>40</v>
      </c>
      <c r="B42" s="12" t="s">
        <v>105</v>
      </c>
      <c r="C42" s="12" t="s">
        <v>106</v>
      </c>
      <c r="D42" s="17" t="s">
        <v>53</v>
      </c>
      <c r="E42" s="12" t="s">
        <v>54</v>
      </c>
      <c r="F42" s="14">
        <v>110.0</v>
      </c>
      <c r="G42" s="15">
        <v>0.0</v>
      </c>
      <c r="H42" s="15">
        <v>0.0</v>
      </c>
      <c r="I42" s="16" t="s">
        <v>136</v>
      </c>
      <c r="J42" s="16" t="s">
        <v>125</v>
      </c>
    </row>
    <row r="43" ht="15.75" customHeight="1">
      <c r="A43" s="12" t="s">
        <v>40</v>
      </c>
      <c r="B43" s="12" t="s">
        <v>108</v>
      </c>
      <c r="C43" s="12" t="s">
        <v>106</v>
      </c>
      <c r="D43" s="17" t="s">
        <v>53</v>
      </c>
      <c r="E43" s="12" t="s">
        <v>54</v>
      </c>
      <c r="F43" s="14">
        <v>115.0</v>
      </c>
      <c r="G43" s="15">
        <v>0.0</v>
      </c>
      <c r="H43" s="15">
        <v>0.0</v>
      </c>
      <c r="I43" s="16" t="s">
        <v>137</v>
      </c>
      <c r="J43" s="16" t="s">
        <v>138</v>
      </c>
    </row>
    <row r="44" ht="15.75" customHeight="1">
      <c r="A44" s="12" t="s">
        <v>40</v>
      </c>
      <c r="B44" s="12" t="s">
        <v>110</v>
      </c>
      <c r="C44" s="12" t="s">
        <v>111</v>
      </c>
      <c r="D44" s="12" t="s">
        <v>112</v>
      </c>
      <c r="E44" s="12" t="s">
        <v>54</v>
      </c>
      <c r="F44" s="14">
        <v>125.0</v>
      </c>
      <c r="G44" s="15">
        <v>0.0</v>
      </c>
      <c r="H44" s="15">
        <v>0.0</v>
      </c>
      <c r="I44" s="16" t="s">
        <v>139</v>
      </c>
      <c r="J44" s="16" t="s">
        <v>140</v>
      </c>
    </row>
    <row r="45" ht="15.75" customHeight="1">
      <c r="A45" s="12" t="s">
        <v>40</v>
      </c>
      <c r="B45" s="12" t="s">
        <v>115</v>
      </c>
      <c r="C45" s="12" t="s">
        <v>111</v>
      </c>
      <c r="D45" s="12" t="s">
        <v>112</v>
      </c>
      <c r="E45" s="12" t="s">
        <v>54</v>
      </c>
      <c r="F45" s="14">
        <v>140.0</v>
      </c>
      <c r="G45" s="15">
        <v>0.0</v>
      </c>
      <c r="H45" s="15">
        <v>0.0</v>
      </c>
      <c r="I45" s="16" t="s">
        <v>77</v>
      </c>
      <c r="J45" s="16" t="s">
        <v>141</v>
      </c>
    </row>
    <row r="46" ht="15.75" customHeight="1">
      <c r="A46" s="18"/>
      <c r="B46" s="18"/>
      <c r="C46" s="18"/>
      <c r="D46" s="18"/>
      <c r="E46" s="18"/>
      <c r="F46" s="19"/>
      <c r="G46" s="20"/>
      <c r="H46" s="20"/>
      <c r="I46" s="2"/>
      <c r="J46" s="2"/>
    </row>
    <row r="47" ht="15.75" customHeight="1">
      <c r="A47" s="18"/>
      <c r="B47" s="18"/>
      <c r="C47" s="18"/>
      <c r="D47" s="18"/>
      <c r="E47" s="18"/>
      <c r="F47" s="19"/>
      <c r="G47" s="20"/>
      <c r="H47" s="20"/>
      <c r="I47" s="2"/>
      <c r="J47" s="2"/>
    </row>
    <row r="48" ht="15.75" customHeight="1">
      <c r="A48" s="18"/>
      <c r="B48" s="18"/>
      <c r="C48" s="18"/>
      <c r="D48" s="18"/>
      <c r="E48" s="18"/>
      <c r="F48" s="19"/>
      <c r="G48" s="20"/>
      <c r="H48" s="20"/>
      <c r="I48" s="2"/>
      <c r="J48" s="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0.38"/>
    <col customWidth="1" min="3" max="3" width="65.63"/>
    <col customWidth="1" min="4" max="4" width="43.5"/>
    <col customWidth="1" min="5" max="26" width="8.63"/>
  </cols>
  <sheetData>
    <row r="1">
      <c r="A1" s="7" t="s">
        <v>9</v>
      </c>
      <c r="B1" s="7" t="s">
        <v>16</v>
      </c>
      <c r="C1" s="7" t="s">
        <v>142</v>
      </c>
      <c r="D1" s="7" t="s">
        <v>143</v>
      </c>
    </row>
    <row r="2">
      <c r="A2" s="9" t="s">
        <v>19</v>
      </c>
      <c r="B2" s="9" t="s">
        <v>21</v>
      </c>
      <c r="C2" s="9" t="s">
        <v>22</v>
      </c>
      <c r="D2" s="9" t="s">
        <v>144</v>
      </c>
    </row>
    <row r="3">
      <c r="A3" s="9" t="s">
        <v>23</v>
      </c>
      <c r="B3" s="9" t="s">
        <v>21</v>
      </c>
      <c r="C3" s="9" t="s">
        <v>25</v>
      </c>
      <c r="D3" s="9" t="s">
        <v>144</v>
      </c>
    </row>
    <row r="4">
      <c r="A4" s="9" t="s">
        <v>26</v>
      </c>
      <c r="B4" s="9" t="s">
        <v>28</v>
      </c>
      <c r="C4" s="9" t="s">
        <v>29</v>
      </c>
      <c r="D4" s="9" t="s">
        <v>145</v>
      </c>
    </row>
    <row r="5">
      <c r="A5" s="9" t="s">
        <v>30</v>
      </c>
      <c r="B5" s="9" t="s">
        <v>32</v>
      </c>
      <c r="C5" s="9" t="s">
        <v>33</v>
      </c>
      <c r="D5" s="9" t="s">
        <v>146</v>
      </c>
    </row>
    <row r="6">
      <c r="A6" s="9" t="s">
        <v>34</v>
      </c>
      <c r="B6" s="9" t="s">
        <v>28</v>
      </c>
      <c r="C6" s="9" t="s">
        <v>36</v>
      </c>
      <c r="D6" s="9" t="s">
        <v>147</v>
      </c>
    </row>
    <row r="7">
      <c r="A7" s="9" t="s">
        <v>37</v>
      </c>
      <c r="B7" s="9" t="s">
        <v>21</v>
      </c>
      <c r="C7" s="9" t="s">
        <v>39</v>
      </c>
      <c r="D7" s="9" t="s">
        <v>144</v>
      </c>
    </row>
    <row r="8">
      <c r="A8" s="9" t="s">
        <v>40</v>
      </c>
      <c r="B8" s="9" t="s">
        <v>21</v>
      </c>
      <c r="C8" s="9" t="s">
        <v>42</v>
      </c>
      <c r="D8" s="9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8.88"/>
    <col customWidth="1" min="3" max="3" width="19.0"/>
    <col customWidth="1" min="4" max="4" width="26.38"/>
    <col customWidth="1" min="5" max="26" width="8.63"/>
  </cols>
  <sheetData>
    <row r="1">
      <c r="A1" s="11" t="s">
        <v>43</v>
      </c>
      <c r="B1" s="11" t="s">
        <v>44</v>
      </c>
      <c r="C1" s="11" t="s">
        <v>45</v>
      </c>
      <c r="D1" s="11" t="s">
        <v>148</v>
      </c>
    </row>
    <row r="2">
      <c r="A2" s="21" t="s">
        <v>51</v>
      </c>
      <c r="B2" s="21" t="s">
        <v>52</v>
      </c>
      <c r="C2" s="22" t="s">
        <v>53</v>
      </c>
      <c r="D2" s="21" t="s">
        <v>149</v>
      </c>
    </row>
    <row r="3">
      <c r="A3" s="21" t="s">
        <v>57</v>
      </c>
      <c r="B3" s="21" t="s">
        <v>52</v>
      </c>
      <c r="C3" s="23" t="s">
        <v>53</v>
      </c>
      <c r="D3" s="21" t="s">
        <v>149</v>
      </c>
    </row>
    <row r="4">
      <c r="A4" s="21" t="s">
        <v>60</v>
      </c>
      <c r="B4" s="21" t="s">
        <v>52</v>
      </c>
      <c r="C4" s="23" t="s">
        <v>53</v>
      </c>
      <c r="D4" s="21" t="s">
        <v>149</v>
      </c>
    </row>
    <row r="5">
      <c r="A5" s="21" t="s">
        <v>63</v>
      </c>
      <c r="B5" s="21" t="s">
        <v>52</v>
      </c>
      <c r="C5" s="23" t="s">
        <v>53</v>
      </c>
      <c r="D5" s="21" t="s">
        <v>149</v>
      </c>
    </row>
    <row r="6">
      <c r="A6" s="21" t="s">
        <v>66</v>
      </c>
      <c r="B6" s="21" t="s">
        <v>52</v>
      </c>
      <c r="C6" s="23" t="s">
        <v>53</v>
      </c>
      <c r="D6" s="21" t="s">
        <v>149</v>
      </c>
    </row>
    <row r="7">
      <c r="A7" s="21" t="s">
        <v>69</v>
      </c>
      <c r="B7" s="21" t="s">
        <v>52</v>
      </c>
      <c r="C7" s="23" t="s">
        <v>53</v>
      </c>
      <c r="D7" s="21" t="s">
        <v>149</v>
      </c>
    </row>
    <row r="8">
      <c r="A8" s="21" t="s">
        <v>72</v>
      </c>
      <c r="B8" s="21" t="s">
        <v>52</v>
      </c>
      <c r="C8" s="23" t="s">
        <v>53</v>
      </c>
      <c r="D8" s="21" t="s">
        <v>149</v>
      </c>
    </row>
    <row r="9">
      <c r="A9" s="21" t="s">
        <v>105</v>
      </c>
      <c r="B9" s="21" t="s">
        <v>106</v>
      </c>
      <c r="C9" s="23" t="s">
        <v>53</v>
      </c>
      <c r="D9" s="21" t="s">
        <v>150</v>
      </c>
    </row>
    <row r="10">
      <c r="A10" s="21" t="s">
        <v>108</v>
      </c>
      <c r="B10" s="21" t="s">
        <v>106</v>
      </c>
      <c r="C10" s="23" t="s">
        <v>53</v>
      </c>
      <c r="D10" s="21" t="s">
        <v>150</v>
      </c>
    </row>
    <row r="11">
      <c r="A11" s="21" t="s">
        <v>110</v>
      </c>
      <c r="B11" s="21" t="s">
        <v>111</v>
      </c>
      <c r="C11" s="21" t="s">
        <v>112</v>
      </c>
      <c r="D11" s="21" t="s">
        <v>151</v>
      </c>
    </row>
    <row r="12">
      <c r="A12" s="21" t="s">
        <v>115</v>
      </c>
      <c r="B12" s="21" t="s">
        <v>111</v>
      </c>
      <c r="C12" s="21" t="s">
        <v>112</v>
      </c>
      <c r="D12" s="21" t="s">
        <v>151</v>
      </c>
    </row>
    <row r="13">
      <c r="A13" s="21" t="s">
        <v>118</v>
      </c>
      <c r="B13" s="21" t="s">
        <v>119</v>
      </c>
      <c r="C13" s="21" t="s">
        <v>112</v>
      </c>
      <c r="D13" s="21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75"/>
    <col customWidth="1" min="2" max="2" width="39.88"/>
    <col customWidth="1" min="3" max="3" width="21.5"/>
    <col customWidth="1" min="4" max="4" width="43.5"/>
    <col customWidth="1" min="5" max="26" width="8.63"/>
  </cols>
  <sheetData>
    <row r="1">
      <c r="A1" s="24" t="s">
        <v>153</v>
      </c>
    </row>
    <row r="2">
      <c r="A2" s="2"/>
      <c r="B2" s="2"/>
      <c r="C2" s="2"/>
      <c r="D2" s="2"/>
    </row>
    <row r="3">
      <c r="A3" s="25" t="s">
        <v>154</v>
      </c>
      <c r="B3" s="25" t="s">
        <v>155</v>
      </c>
      <c r="C3" s="25" t="s">
        <v>156</v>
      </c>
      <c r="D3" s="25" t="s">
        <v>17</v>
      </c>
    </row>
    <row r="4">
      <c r="A4" s="26" t="s">
        <v>157</v>
      </c>
      <c r="B4" s="9" t="s">
        <v>158</v>
      </c>
      <c r="C4" s="9" t="s">
        <v>159</v>
      </c>
      <c r="D4" s="9" t="s">
        <v>160</v>
      </c>
    </row>
    <row r="5">
      <c r="A5" s="26" t="s">
        <v>12</v>
      </c>
      <c r="B5" s="9" t="s">
        <v>161</v>
      </c>
      <c r="C5" s="9" t="s">
        <v>162</v>
      </c>
      <c r="D5" s="9" t="s">
        <v>163</v>
      </c>
    </row>
    <row r="6">
      <c r="A6" s="26" t="s">
        <v>13</v>
      </c>
      <c r="B6" s="9" t="s">
        <v>164</v>
      </c>
      <c r="C6" s="9" t="s">
        <v>165</v>
      </c>
      <c r="D6" s="9" t="s">
        <v>166</v>
      </c>
    </row>
    <row r="7">
      <c r="A7" s="26" t="s">
        <v>15</v>
      </c>
      <c r="B7" s="9" t="s">
        <v>167</v>
      </c>
      <c r="C7" s="9" t="s">
        <v>162</v>
      </c>
      <c r="D7" s="9" t="s">
        <v>168</v>
      </c>
    </row>
    <row r="8">
      <c r="A8" s="26" t="s">
        <v>16</v>
      </c>
      <c r="B8" s="9" t="s">
        <v>169</v>
      </c>
      <c r="C8" s="9" t="s">
        <v>170</v>
      </c>
      <c r="D8" s="9" t="s">
        <v>171</v>
      </c>
    </row>
    <row r="9">
      <c r="A9" s="26" t="s">
        <v>45</v>
      </c>
      <c r="B9" s="9" t="s">
        <v>172</v>
      </c>
      <c r="C9" s="9" t="s">
        <v>173</v>
      </c>
      <c r="D9" s="9" t="s">
        <v>174</v>
      </c>
    </row>
    <row r="10">
      <c r="A10" s="26" t="s">
        <v>175</v>
      </c>
      <c r="B10" s="9" t="s">
        <v>176</v>
      </c>
      <c r="C10" s="9" t="s">
        <v>177</v>
      </c>
      <c r="D10" s="9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